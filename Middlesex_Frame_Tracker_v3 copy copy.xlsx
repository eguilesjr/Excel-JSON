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/>
  <mc:AlternateContent xmlns:mc="http://schemas.openxmlformats.org/markup-compatibility/2006">
    <mc:Choice Requires="x15">
      <x15ac:absPath xmlns:x15ac="http://schemas.microsoft.com/office/spreadsheetml/2010/11/ac" url="https://graboyescommercial.sharepoint.com/sites/projects-active/Shared Documents/Middlesex Venue and Student Center (25-010)/08 - PM Files/"/>
    </mc:Choice>
  </mc:AlternateContent>
  <xr:revisionPtr revIDLastSave="0" documentId="8_{E7C05862-B30C-0547-90CB-F18EE53410D7}" xr6:coauthVersionLast="47" xr6:coauthVersionMax="47" xr10:uidLastSave="{00000000-0000-0000-0000-000000000000}"/>
  <bookViews>
    <workbookView xWindow="-38520" yWindow="-120" windowWidth="38640" windowHeight="15720" tabRatio="500" activeTab="1" xr2:uid="{00000000-000D-0000-FFFF-FFFF00000000}"/>
  </bookViews>
  <sheets>
    <sheet name="Frame Installation Tracker" sheetId="1" r:id="rId1"/>
    <sheet name="Panel Counts" sheetId="2" r:id="rId2"/>
  </sheets>
  <definedNames>
    <definedName name="_xlnm.Print_Titles" localSheetId="0">'Frame Installation Tracker'!$1:$4</definedName>
    <definedName name="_xlnm.Print_Titles" localSheetId="1">'Panel Counts'!$1:$3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2" l="1"/>
  <c r="E15" i="2"/>
  <c r="D15" i="2"/>
  <c r="C15" i="2"/>
  <c r="F14" i="2"/>
  <c r="G14" i="2"/>
  <c r="F13" i="2"/>
  <c r="G13" i="2"/>
  <c r="F12" i="2"/>
  <c r="G12" i="2"/>
  <c r="F11" i="2"/>
  <c r="G11" i="2"/>
  <c r="F10" i="2"/>
  <c r="G10" i="2"/>
  <c r="F9" i="2"/>
  <c r="G9" i="2"/>
  <c r="F8" i="2"/>
  <c r="G8" i="2"/>
  <c r="F7" i="2"/>
  <c r="G7" i="2"/>
  <c r="F6" i="2"/>
  <c r="G6" i="2"/>
  <c r="F5" i="2"/>
  <c r="G5" i="2"/>
  <c r="F4" i="2"/>
  <c r="F15" i="2"/>
  <c r="B47" i="1"/>
  <c r="B46" i="1"/>
  <c r="B45" i="1"/>
  <c r="B44" i="1"/>
  <c r="B43" i="1"/>
  <c r="B42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B48" i="1"/>
  <c r="G4" i="2"/>
  <c r="G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Ellis Guiles</author>
  </authors>
  <commentList>
    <comment ref="I3" authorId="0" shapeId="0" xr:uid="{0C7E7443-C693-4C35-9B0B-13379B5E2228}">
      <text>
        <r>
          <rPr>
            <b/>
            <sz val="9"/>
            <color indexed="81"/>
            <rFont val="Tahoma"/>
            <family val="2"/>
          </rPr>
          <t>Ellis Guiles:</t>
        </r>
        <r>
          <rPr>
            <sz val="9"/>
            <color indexed="81"/>
            <rFont val="Tahoma"/>
            <family val="2"/>
          </rPr>
          <t xml:space="preserve">
Enter Qty Fabricated as a running cumulative total: each day, add the current day's fabricated quantity to the previous day's total. Continue updating daily until 100% of the Qty (column C) is reached.</t>
        </r>
      </text>
    </comment>
  </commentList>
</comments>
</file>

<file path=xl/sharedStrings.xml><?xml version="1.0" encoding="utf-8"?>
<sst xmlns="http://schemas.openxmlformats.org/spreadsheetml/2006/main" count="286" uniqueCount="141">
  <si>
    <t>Middlesex – Frame Installation Tracker</t>
  </si>
  <si>
    <t>Source: Colfab schedule  •  Graboyes installation tracking  •  Generated 05/22/2026</t>
  </si>
  <si>
    <t>COLFAB SCHEDULE (reference)</t>
  </si>
  <si>
    <t>GRABOYES INSTALLATION TRACKING (fill in)</t>
  </si>
  <si>
    <t>Line #</t>
  </si>
  <si>
    <t>Area</t>
  </si>
  <si>
    <t>Location</t>
  </si>
  <si>
    <t>Floor</t>
  </si>
  <si>
    <t>Frame Type</t>
  </si>
  <si>
    <t>Qty</t>
  </si>
  <si>
    <t>Colfab Status</t>
  </si>
  <si>
    <t>Delivery Date</t>
  </si>
  <si>
    <t>Colfab Notes</t>
  </si>
  <si>
    <t>Shipment Received</t>
  </si>
  <si>
    <t>Install Started</t>
  </si>
  <si>
    <t>Install Completed</t>
  </si>
  <si>
    <t>Days to Install</t>
  </si>
  <si>
    <t>Graboyes Notes</t>
  </si>
  <si>
    <t>D</t>
  </si>
  <si>
    <t>Press</t>
  </si>
  <si>
    <t>3rd</t>
  </si>
  <si>
    <t>CW-A</t>
  </si>
  <si>
    <t>In Production</t>
  </si>
  <si>
    <t>CW-B1</t>
  </si>
  <si>
    <t>CW-C1</t>
  </si>
  <si>
    <t>CW-F</t>
  </si>
  <si>
    <t>SF-F</t>
  </si>
  <si>
    <t>Delivered</t>
  </si>
  <si>
    <t>Without Door Frames</t>
  </si>
  <si>
    <t>SF-E</t>
  </si>
  <si>
    <t>Complete</t>
  </si>
  <si>
    <t>SF-H</t>
  </si>
  <si>
    <t>Not by Colfab</t>
  </si>
  <si>
    <t>N/A</t>
  </si>
  <si>
    <t>Door Only</t>
  </si>
  <si>
    <t>C</t>
  </si>
  <si>
    <t>CW-B2</t>
  </si>
  <si>
    <t>CW-B3</t>
  </si>
  <si>
    <t>CW-C</t>
  </si>
  <si>
    <t>CW-E2</t>
  </si>
  <si>
    <t>CW-E1</t>
  </si>
  <si>
    <t>CW-D</t>
  </si>
  <si>
    <t>Concourse</t>
  </si>
  <si>
    <t>2nd</t>
  </si>
  <si>
    <t>SF-C3</t>
  </si>
  <si>
    <t>SF-C2</t>
  </si>
  <si>
    <t>SF-C1</t>
  </si>
  <si>
    <t>Ground</t>
  </si>
  <si>
    <t>SF-I</t>
  </si>
  <si>
    <t>SF-G</t>
  </si>
  <si>
    <t>B</t>
  </si>
  <si>
    <t>SF-D3</t>
  </si>
  <si>
    <t>SF-D2</t>
  </si>
  <si>
    <t>SF-D1</t>
  </si>
  <si>
    <t>SF-B</t>
  </si>
  <si>
    <t>A</t>
  </si>
  <si>
    <t>SF-A</t>
  </si>
  <si>
    <t>Gateway</t>
  </si>
  <si>
    <t>CW-K</t>
  </si>
  <si>
    <t>CW-L</t>
  </si>
  <si>
    <t>CW-G</t>
  </si>
  <si>
    <t>CW-J</t>
  </si>
  <si>
    <t>CW-H</t>
  </si>
  <si>
    <t>CW-I</t>
  </si>
  <si>
    <t>SUMMARY</t>
  </si>
  <si>
    <t>LEGEND</t>
  </si>
  <si>
    <t>Total Lines:</t>
  </si>
  <si>
    <t>Delivered (Colfab)</t>
  </si>
  <si>
    <t>Total Frames (Qty):</t>
  </si>
  <si>
    <t>Complete (Colfab)</t>
  </si>
  <si>
    <t>Shipments Received:</t>
  </si>
  <si>
    <t>Installs Started:</t>
  </si>
  <si>
    <t>Past delivery, not received</t>
  </si>
  <si>
    <t>Installs Completed:</t>
  </si>
  <si>
    <t>Install completed</t>
  </si>
  <si>
    <t>% Complete:</t>
  </si>
  <si>
    <t>Graboyes input cell</t>
  </si>
  <si>
    <t>Avg Days to Install:</t>
  </si>
  <si>
    <t>INSTRUCTIONS FOR GRABOYES STAFF</t>
  </si>
  <si>
    <t>1. When a shipment of frames arrives on-site, enter the date received in column J for each line item in that shipment.</t>
  </si>
  <si>
    <t>2. When installation begins for a line/frame type, enter the start date in column K.</t>
  </si>
  <si>
    <t>3. When installation is fully complete for that line, enter the completion date in column L.</t>
  </si>
  <si>
    <t>4. Column M (Days to Install) auto-calculates once both K and L are filled in.</t>
  </si>
  <si>
    <t>5. Use column N for any field notes (damaged frames, punch-list items, delays, etc.).</t>
  </si>
  <si>
    <t>6. Yellow-highlighted cells are the ONLY cells that need to be edited. All other columns are reference data from Colfab.</t>
  </si>
  <si>
    <t>Panel Counts by Drawing — Cassettes by Area</t>
  </si>
  <si>
    <t>Source: 'Cassettes by Area_Middlesex.pdf' (sheets 201–208). NOTE: drawing IDs (CW-1…CW-11) do not match Frame Tracker codes (CW-A, CW-B1, etc.). Use this sheet as reference only.</t>
  </si>
  <si>
    <t>Drawing</t>
  </si>
  <si>
    <t>Sheet #</t>
  </si>
  <si>
    <t>Cassette QTY (THUS)</t>
  </si>
  <si>
    <t>Glass Panels / Cassette</t>
  </si>
  <si>
    <t>Doors / Cassette</t>
  </si>
  <si>
    <t>Total Items / Cassette</t>
  </si>
  <si>
    <t>Total Items (× QTY)</t>
  </si>
  <si>
    <t>Notes</t>
  </si>
  <si>
    <t>CW-1</t>
  </si>
  <si>
    <t>201</t>
  </si>
  <si>
    <t>Full-height clearwall. 5 angled clerestory + 5 middle + 5 bottom (incl. 1 transom above door pair X100A). 14 fixed glass + 1 transom + 1 door pair.</t>
  </si>
  <si>
    <t>CW-2</t>
  </si>
  <si>
    <t>202</t>
  </si>
  <si>
    <t>Long horizontal clearwall split across match line. 5 panels top section + 7 panels bottom section. All GLA-01A. No doors.</t>
  </si>
  <si>
    <t>CW-3</t>
  </si>
  <si>
    <t>203</t>
  </si>
  <si>
    <t>Single-panel cassette, GLA-01A. Built 10 times. 10 cassettes × 1 panel = 10 panels total.</t>
  </si>
  <si>
    <t>CW-4</t>
  </si>
  <si>
    <t>Single-panel cassette, GLA-01A.</t>
  </si>
  <si>
    <t>CW-5</t>
  </si>
  <si>
    <t>CW-6</t>
  </si>
  <si>
    <t>204</t>
  </si>
  <si>
    <t>Mirror of CW-1. Door pair X100B in bottom row. 14 fixed glass + 1 transom + 1 door pair.</t>
  </si>
  <si>
    <t>CW-7</t>
  </si>
  <si>
    <t>205</t>
  </si>
  <si>
    <t>Two-section clearwall with match line. Top section ~11 glass + 2 single doors (X120D, X120C). Bottom section ~13 glass + 2 single doors (X120B, X120A). VERIFY count against drawing — complex elevation.</t>
  </si>
  <si>
    <t>CW-8</t>
  </si>
  <si>
    <t>206</t>
  </si>
  <si>
    <t>CW-9</t>
  </si>
  <si>
    <t>Three-panel angled clearwall. All GLA-01.</t>
  </si>
  <si>
    <t>CW-10</t>
  </si>
  <si>
    <t>207</t>
  </si>
  <si>
    <t>Two-section clearwall. Top section 6 glass + 1 single door (X210A). Bottom section 5 glass + 1 single door (X210B) + transoms.</t>
  </si>
  <si>
    <t>CW-11</t>
  </si>
  <si>
    <t>208</t>
  </si>
  <si>
    <t>TOTAL</t>
  </si>
  <si>
    <t>DEFINITIONS</t>
  </si>
  <si>
    <t>Cassette QTY (THUS):</t>
  </si>
  <si>
    <t>The number of times this elevation gets built — taken from the '(N) THUS' callout in each drawing's title block.</t>
  </si>
  <si>
    <t>Glass Panels / Cassette:</t>
  </si>
  <si>
    <t>Number of fixed glass panels (GLA-xx labels) in one elevation. Transoms above doors are counted.</t>
  </si>
  <si>
    <t>Doors / Cassette:</t>
  </si>
  <si>
    <t>Number of individual door leaves in one elevation. Door pairs count as 2.</t>
  </si>
  <si>
    <t>Total Items / Cassette:</t>
  </si>
  <si>
    <t>Glass + doors per cassette (auto-calculated).</t>
  </si>
  <si>
    <t>Total Items (× QTY):</t>
  </si>
  <si>
    <t>Cassette QTY × items per cassette — the field count Graboyes should expect to install across all instances of that drawing.</t>
  </si>
  <si>
    <t>Highlighted row (CW-7):</t>
  </si>
  <si>
    <t>Complex two-section elevation with 4 doors. Counts are best-effort; verify against drawing before ordering or installation.</t>
  </si>
  <si>
    <t>IMPORTANT — NAMING MISMATCH WITH FRAME TRACKER</t>
  </si>
  <si>
    <t>The drawings in 'Cassettes by Area_Middlesex.pdf' use clearwall IDs CW-1 through CW-11. The Frame Tracker sheet uses different IDs (CW-A, CW-B1, CW-B2, CW-C, CW-C1, CW-D, CW-E1, CW-E2, CW-F, CW-G, CW-H, CW-I, CW-J, CW-K, CW-L). No mapping was provided between the two systems and none could be inferred from the drawings. Storefront types (SF-A through SF-I) are not in the uploaded drawing set and are not represented on this sheet. Before tying panel counts to specific schedule line items, obtain the elevation index / key from the architect (AECOM) or Colfab that maps drawing IDs to Frame Tracker codes.</t>
  </si>
  <si>
    <t>Qty Fabricated</t>
  </si>
  <si>
    <t>Date Shipped to Jobsite</t>
  </si>
  <si>
    <t>Date Installed at Jobsite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</si>
</sst>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40404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b/>
      <sz val="11"/>
      <name val="Arial"/>
      <family val="2"/>
    </font>
    <font>
      <b/>
      <sz val="11"/>
      <color rgb="FF1F3864"/>
      <name val="Arial"/>
      <family val="2"/>
    </font>
    <font>
      <b/>
      <sz val="10"/>
      <name val="Arial"/>
      <family val="2"/>
    </font>
    <font>
      <i/>
      <sz val="9"/>
      <color rgb="FF60606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48235"/>
        <bgColor rgb="FF339966"/>
      </patternFill>
    </fill>
    <fill>
      <patternFill patternType="solid">
        <fgColor rgb="FFFFF9E6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D966"/>
        <bgColor rgb="FFF8CBAD"/>
      </patternFill>
    </fill>
    <fill>
      <patternFill patternType="solid">
        <fgColor rgb="FFBDD7EE"/>
        <bgColor rgb="FFC6EFCE"/>
      </patternFill>
    </fill>
    <fill>
      <patternFill patternType="solid">
        <fgColor rgb="FFF8CBAD"/>
        <bgColor rgb="FFFFD966"/>
      </patternFill>
    </fill>
    <fill>
      <patternFill patternType="solid">
        <fgColor rgb="FFFFF2CC"/>
        <bgColor rgb="FFFFF9E6"/>
      </patternFill>
    </fill>
    <fill>
      <patternFill patternType="solid">
        <fgColor rgb="FFE7EEF7"/>
        <bgColor rgb="FFFFF9E6"/>
      </patternFill>
    </fill>
    <fill>
      <patternFill patternType="solid">
        <fgColor rgb="FFC00000"/>
        <bgColor rgb="FF800000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EF7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1" fontId="4" fillId="0" borderId="0" xfId="0" applyNumberFormat="1" applyFont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64" fontId="4" fillId="0" borderId="0" xfId="0" applyNumberFormat="1" applyFont="1" applyAlignment="1">
      <alignment horizontal="center" vertical="center" wrapText="1"/>
    </xf>
    <xf numFmtId="0" fontId="0" fillId="4" borderId="1" xfId="0" applyFill="1" applyBorder="1"/>
    <xf numFmtId="165" fontId="4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2" fillId="13" borderId="0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1" fontId="7" fillId="15" borderId="1" xfId="0" applyNumberFormat="1" applyFont="1" applyFill="1" applyBorder="1" applyAlignment="1">
      <alignment horizontal="center" vertical="center" wrapText="1"/>
    </xf>
    <xf numFmtId="1" fontId="11" fillId="13" borderId="1" xfId="0" applyNumberFormat="1" applyFont="1" applyFill="1" applyBorder="1" applyAlignment="1">
      <alignment horizontal="center"/>
    </xf>
    <xf numFmtId="14" fontId="11" fillId="13" borderId="1" xfId="0" applyNumberFormat="1" applyFont="1" applyFill="1" applyBorder="1" applyAlignment="1">
      <alignment horizontal="center"/>
    </xf>
    <xf numFmtId="1" fontId="11" fillId="14" borderId="1" xfId="0" applyNumberFormat="1" applyFont="1" applyFill="1" applyBorder="1" applyAlignment="1">
      <alignment horizontal="center"/>
    </xf>
    <xf numFmtId="14" fontId="11" fillId="14" borderId="1" xfId="0" applyNumberFormat="1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10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5" fillId="11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D966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D966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9E6"/>
      <rgbColor rgb="FFE7EE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D966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Tracker" displayName="FrameTracker" ref="A4:N38" totalsRowShown="0">
  <autoFilter ref="A4:N38" xr:uid="{00000000-0009-0000-0100-000001000000}"/>
  <tableColumns count="14">
    <tableColumn id="1" xr3:uid="{00000000-0010-0000-0000-000001000000}" name="Line #"/>
    <tableColumn id="2" xr3:uid="{00000000-0010-0000-0000-000002000000}" name="Area"/>
    <tableColumn id="3" xr3:uid="{00000000-0010-0000-0000-000003000000}" name="Location"/>
    <tableColumn id="4" xr3:uid="{00000000-0010-0000-0000-000004000000}" name="Floor"/>
    <tableColumn id="5" xr3:uid="{00000000-0010-0000-0000-000005000000}" name="Frame Type"/>
    <tableColumn id="6" xr3:uid="{00000000-0010-0000-0000-000006000000}" name="Qty"/>
    <tableColumn id="7" xr3:uid="{00000000-0010-0000-0000-000007000000}" name="Colfab Status"/>
    <tableColumn id="8" xr3:uid="{00000000-0010-0000-0000-000008000000}" name="Delivery Date"/>
    <tableColumn id="9" xr3:uid="{00000000-0010-0000-0000-000009000000}" name="Colfab Notes"/>
    <tableColumn id="10" xr3:uid="{00000000-0010-0000-0000-00000A000000}" name="Shipment Received"/>
    <tableColumn id="11" xr3:uid="{00000000-0010-0000-0000-00000B000000}" name="Install Started"/>
    <tableColumn id="12" xr3:uid="{00000000-0010-0000-0000-00000C000000}" name="Install Completed"/>
    <tableColumn id="13" xr3:uid="{00000000-0010-0000-0000-00000D000000}" name="Days to Install"/>
    <tableColumn id="14" xr3:uid="{00000000-0010-0000-0000-00000E000000}" name="Graboyes 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9E680C-4504-434C-8D70-6E9E1A839B5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b3289a1-215e-47a8-b184-657f0410530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5"/>
  <sheetViews>
    <sheetView zoomScaleNormal="100" workbookViewId="0">
      <pane ySplit="4" topLeftCell="A5" activePane="bottomLeft" state="frozen"/>
      <selection pane="bottomLeft" sqref="A1:N1"/>
    </sheetView>
  </sheetViews>
  <sheetFormatPr defaultColWidth="8.7421875" defaultRowHeight="15" x14ac:dyDescent="0.2"/>
  <cols>
    <col min="1" max="1" width="7.93359375" customWidth="1"/>
    <col min="2" max="2" width="6.9921875" customWidth="1"/>
    <col min="3" max="3" width="11.97265625" customWidth="1"/>
    <col min="4" max="4" width="9.01171875" customWidth="1"/>
    <col min="5" max="5" width="11.97265625" customWidth="1"/>
    <col min="6" max="6" width="6.05078125" customWidth="1"/>
    <col min="7" max="7" width="14.9296875" customWidth="1"/>
    <col min="8" max="8" width="13.046875" customWidth="1"/>
    <col min="9" max="9" width="22.05859375" customWidth="1"/>
    <col min="10" max="10" width="16.0078125" customWidth="1"/>
    <col min="11" max="11" width="13.98828125" customWidth="1"/>
    <col min="12" max="12" width="16.0078125" customWidth="1"/>
    <col min="13" max="13" width="11.97265625" customWidth="1"/>
    <col min="14" max="14" width="27.98046875" customWidth="1"/>
  </cols>
  <sheetData>
    <row r="1" spans="1:14" ht="30" customHeight="1" x14ac:dyDescent="0.2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15" customHeight="1" x14ac:dyDescent="0.2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15" customHeight="1" x14ac:dyDescent="0.2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8" t="s">
        <v>3</v>
      </c>
      <c r="K3" s="48"/>
      <c r="L3" s="48"/>
      <c r="M3" s="48"/>
      <c r="N3" s="48"/>
    </row>
    <row r="4" spans="1:14" ht="31.5" customHeight="1" x14ac:dyDescent="0.2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</row>
    <row r="5" spans="1:14" ht="15" customHeight="1" x14ac:dyDescent="0.2">
      <c r="A5" s="3">
        <v>1</v>
      </c>
      <c r="B5" s="3" t="s">
        <v>18</v>
      </c>
      <c r="C5" s="4" t="s">
        <v>19</v>
      </c>
      <c r="D5" s="3" t="s">
        <v>20</v>
      </c>
      <c r="E5" s="4" t="s">
        <v>21</v>
      </c>
      <c r="F5" s="3">
        <v>4</v>
      </c>
      <c r="G5" s="3" t="s">
        <v>22</v>
      </c>
      <c r="H5" s="5">
        <v>46157</v>
      </c>
      <c r="I5" s="4"/>
      <c r="J5" s="6"/>
      <c r="K5" s="6"/>
      <c r="L5" s="6"/>
      <c r="M5" s="7" t="str">
        <f t="shared" ref="M5:M38" si="0">IF(AND(ISNUMBER(K5),ISNUMBER(L5)),L5-K5,"")</f>
        <v/>
      </c>
      <c r="N5" s="8"/>
    </row>
    <row r="6" spans="1:14" ht="15" customHeight="1" x14ac:dyDescent="0.2">
      <c r="A6" s="3">
        <v>2</v>
      </c>
      <c r="B6" s="3" t="s">
        <v>18</v>
      </c>
      <c r="C6" s="4" t="s">
        <v>19</v>
      </c>
      <c r="D6" s="3" t="s">
        <v>20</v>
      </c>
      <c r="E6" s="4" t="s">
        <v>23</v>
      </c>
      <c r="F6" s="3">
        <v>6</v>
      </c>
      <c r="G6" s="3" t="s">
        <v>22</v>
      </c>
      <c r="H6" s="5">
        <v>46160</v>
      </c>
      <c r="I6" s="4"/>
      <c r="J6" s="6"/>
      <c r="K6" s="6"/>
      <c r="L6" s="6"/>
      <c r="M6" s="7" t="str">
        <f t="shared" si="0"/>
        <v/>
      </c>
      <c r="N6" s="8"/>
    </row>
    <row r="7" spans="1:14" ht="15" customHeight="1" x14ac:dyDescent="0.2">
      <c r="A7" s="3">
        <v>3</v>
      </c>
      <c r="B7" s="3" t="s">
        <v>18</v>
      </c>
      <c r="C7" s="4" t="s">
        <v>19</v>
      </c>
      <c r="D7" s="3" t="s">
        <v>20</v>
      </c>
      <c r="E7" s="4" t="s">
        <v>24</v>
      </c>
      <c r="F7" s="3">
        <v>1</v>
      </c>
      <c r="G7" s="3" t="s">
        <v>22</v>
      </c>
      <c r="H7" s="5">
        <v>46160</v>
      </c>
      <c r="I7" s="4"/>
      <c r="J7" s="6"/>
      <c r="K7" s="6"/>
      <c r="L7" s="6"/>
      <c r="M7" s="7" t="str">
        <f t="shared" si="0"/>
        <v/>
      </c>
      <c r="N7" s="8"/>
    </row>
    <row r="8" spans="1:14" ht="15" customHeight="1" x14ac:dyDescent="0.2">
      <c r="A8" s="3">
        <v>4</v>
      </c>
      <c r="B8" s="3" t="s">
        <v>18</v>
      </c>
      <c r="C8" s="4" t="s">
        <v>19</v>
      </c>
      <c r="D8" s="3" t="s">
        <v>20</v>
      </c>
      <c r="E8" s="4" t="s">
        <v>25</v>
      </c>
      <c r="F8" s="3">
        <v>1</v>
      </c>
      <c r="G8" s="3" t="s">
        <v>22</v>
      </c>
      <c r="H8" s="5">
        <v>46160</v>
      </c>
      <c r="I8" s="4"/>
      <c r="J8" s="6"/>
      <c r="K8" s="6"/>
      <c r="L8" s="6"/>
      <c r="M8" s="7" t="str">
        <f t="shared" si="0"/>
        <v/>
      </c>
      <c r="N8" s="8"/>
    </row>
    <row r="9" spans="1:14" ht="15" customHeight="1" x14ac:dyDescent="0.2">
      <c r="A9" s="3">
        <v>5</v>
      </c>
      <c r="B9" s="3" t="s">
        <v>18</v>
      </c>
      <c r="C9" s="4" t="s">
        <v>19</v>
      </c>
      <c r="D9" s="3" t="s">
        <v>20</v>
      </c>
      <c r="E9" s="4" t="s">
        <v>26</v>
      </c>
      <c r="F9" s="3">
        <v>1</v>
      </c>
      <c r="G9" s="3" t="s">
        <v>27</v>
      </c>
      <c r="H9" s="5">
        <v>46153</v>
      </c>
      <c r="I9" s="4" t="s">
        <v>28</v>
      </c>
      <c r="J9" s="6"/>
      <c r="K9" s="6"/>
      <c r="L9" s="6"/>
      <c r="M9" s="7" t="str">
        <f t="shared" si="0"/>
        <v/>
      </c>
      <c r="N9" s="8"/>
    </row>
    <row r="10" spans="1:14" ht="15" customHeight="1" x14ac:dyDescent="0.2">
      <c r="A10" s="3">
        <v>6</v>
      </c>
      <c r="B10" s="3" t="s">
        <v>18</v>
      </c>
      <c r="C10" s="4" t="s">
        <v>19</v>
      </c>
      <c r="D10" s="3" t="s">
        <v>20</v>
      </c>
      <c r="E10" s="4" t="s">
        <v>29</v>
      </c>
      <c r="F10" s="3">
        <v>1</v>
      </c>
      <c r="G10" s="3" t="s">
        <v>30</v>
      </c>
      <c r="H10" s="5">
        <v>46156</v>
      </c>
      <c r="I10" s="4" t="s">
        <v>28</v>
      </c>
      <c r="J10" s="6"/>
      <c r="K10" s="6"/>
      <c r="L10" s="6"/>
      <c r="M10" s="7" t="str">
        <f t="shared" si="0"/>
        <v/>
      </c>
      <c r="N10" s="8"/>
    </row>
    <row r="11" spans="1:14" ht="15" customHeight="1" x14ac:dyDescent="0.2">
      <c r="A11" s="3">
        <v>7</v>
      </c>
      <c r="B11" s="3" t="s">
        <v>18</v>
      </c>
      <c r="C11" s="4" t="s">
        <v>19</v>
      </c>
      <c r="D11" s="3" t="s">
        <v>20</v>
      </c>
      <c r="E11" s="4" t="s">
        <v>31</v>
      </c>
      <c r="F11" s="3">
        <v>1</v>
      </c>
      <c r="G11" s="3" t="s">
        <v>32</v>
      </c>
      <c r="H11" s="3" t="s">
        <v>33</v>
      </c>
      <c r="I11" s="4" t="s">
        <v>34</v>
      </c>
      <c r="J11" s="6"/>
      <c r="K11" s="6"/>
      <c r="L11" s="6"/>
      <c r="M11" s="7" t="str">
        <f t="shared" si="0"/>
        <v/>
      </c>
      <c r="N11" s="8"/>
    </row>
    <row r="12" spans="1:14" ht="15" customHeight="1" x14ac:dyDescent="0.2">
      <c r="A12" s="3">
        <v>8</v>
      </c>
      <c r="B12" s="3" t="s">
        <v>35</v>
      </c>
      <c r="C12" s="4" t="s">
        <v>19</v>
      </c>
      <c r="D12" s="3" t="s">
        <v>20</v>
      </c>
      <c r="E12" s="4" t="s">
        <v>23</v>
      </c>
      <c r="F12" s="3">
        <v>3</v>
      </c>
      <c r="G12" s="3" t="s">
        <v>22</v>
      </c>
      <c r="H12" s="5">
        <v>46162</v>
      </c>
      <c r="I12" s="4"/>
      <c r="J12" s="6"/>
      <c r="K12" s="6"/>
      <c r="L12" s="6"/>
      <c r="M12" s="7" t="str">
        <f t="shared" si="0"/>
        <v/>
      </c>
      <c r="N12" s="8"/>
    </row>
    <row r="13" spans="1:14" ht="15" customHeight="1" x14ac:dyDescent="0.2">
      <c r="A13" s="3">
        <v>9</v>
      </c>
      <c r="B13" s="3" t="s">
        <v>35</v>
      </c>
      <c r="C13" s="4" t="s">
        <v>19</v>
      </c>
      <c r="D13" s="3" t="s">
        <v>20</v>
      </c>
      <c r="E13" s="4" t="s">
        <v>36</v>
      </c>
      <c r="F13" s="3">
        <v>2</v>
      </c>
      <c r="G13" s="3" t="s">
        <v>22</v>
      </c>
      <c r="H13" s="5">
        <v>46162</v>
      </c>
      <c r="I13" s="4"/>
      <c r="J13" s="6"/>
      <c r="K13" s="6"/>
      <c r="L13" s="6"/>
      <c r="M13" s="7" t="str">
        <f t="shared" si="0"/>
        <v/>
      </c>
      <c r="N13" s="8"/>
    </row>
    <row r="14" spans="1:14" ht="15" customHeight="1" x14ac:dyDescent="0.2">
      <c r="A14" s="3">
        <v>10</v>
      </c>
      <c r="B14" s="3" t="s">
        <v>35</v>
      </c>
      <c r="C14" s="4" t="s">
        <v>19</v>
      </c>
      <c r="D14" s="3" t="s">
        <v>20</v>
      </c>
      <c r="E14" s="4" t="s">
        <v>37</v>
      </c>
      <c r="F14" s="3">
        <v>1</v>
      </c>
      <c r="G14" s="3" t="s">
        <v>22</v>
      </c>
      <c r="H14" s="5">
        <v>46162</v>
      </c>
      <c r="I14" s="4"/>
      <c r="J14" s="6"/>
      <c r="K14" s="6"/>
      <c r="L14" s="6"/>
      <c r="M14" s="7" t="str">
        <f t="shared" si="0"/>
        <v/>
      </c>
      <c r="N14" s="8"/>
    </row>
    <row r="15" spans="1:14" ht="15" customHeight="1" x14ac:dyDescent="0.2">
      <c r="A15" s="3">
        <v>11</v>
      </c>
      <c r="B15" s="3" t="s">
        <v>35</v>
      </c>
      <c r="C15" s="4" t="s">
        <v>19</v>
      </c>
      <c r="D15" s="3" t="s">
        <v>20</v>
      </c>
      <c r="E15" s="4" t="s">
        <v>38</v>
      </c>
      <c r="F15" s="3">
        <v>1</v>
      </c>
      <c r="G15" s="3" t="s">
        <v>22</v>
      </c>
      <c r="H15" s="5">
        <v>46164</v>
      </c>
      <c r="I15" s="4"/>
      <c r="J15" s="6"/>
      <c r="K15" s="6"/>
      <c r="L15" s="6"/>
      <c r="M15" s="7" t="str">
        <f t="shared" si="0"/>
        <v/>
      </c>
      <c r="N15" s="8"/>
    </row>
    <row r="16" spans="1:14" ht="15" customHeight="1" x14ac:dyDescent="0.2">
      <c r="A16" s="3">
        <v>12</v>
      </c>
      <c r="B16" s="3" t="s">
        <v>35</v>
      </c>
      <c r="C16" s="4" t="s">
        <v>19</v>
      </c>
      <c r="D16" s="3" t="s">
        <v>20</v>
      </c>
      <c r="E16" s="4" t="s">
        <v>21</v>
      </c>
      <c r="F16" s="3">
        <v>5</v>
      </c>
      <c r="G16" s="3" t="s">
        <v>22</v>
      </c>
      <c r="H16" s="5">
        <v>46164</v>
      </c>
      <c r="I16" s="4"/>
      <c r="J16" s="6"/>
      <c r="K16" s="6"/>
      <c r="L16" s="6"/>
      <c r="M16" s="7" t="str">
        <f t="shared" si="0"/>
        <v/>
      </c>
      <c r="N16" s="8"/>
    </row>
    <row r="17" spans="1:14" ht="15" customHeight="1" x14ac:dyDescent="0.2">
      <c r="A17" s="3">
        <v>13</v>
      </c>
      <c r="B17" s="3" t="s">
        <v>35</v>
      </c>
      <c r="C17" s="4" t="s">
        <v>19</v>
      </c>
      <c r="D17" s="3" t="s">
        <v>20</v>
      </c>
      <c r="E17" s="4" t="s">
        <v>39</v>
      </c>
      <c r="F17" s="3">
        <v>1</v>
      </c>
      <c r="G17" s="3" t="s">
        <v>22</v>
      </c>
      <c r="H17" s="5">
        <v>46169</v>
      </c>
      <c r="I17" s="4"/>
      <c r="J17" s="6"/>
      <c r="K17" s="6"/>
      <c r="L17" s="6"/>
      <c r="M17" s="7" t="str">
        <f t="shared" si="0"/>
        <v/>
      </c>
      <c r="N17" s="8"/>
    </row>
    <row r="18" spans="1:14" ht="15" customHeight="1" x14ac:dyDescent="0.2">
      <c r="A18" s="3">
        <v>14</v>
      </c>
      <c r="B18" s="3" t="s">
        <v>35</v>
      </c>
      <c r="C18" s="4" t="s">
        <v>19</v>
      </c>
      <c r="D18" s="3" t="s">
        <v>20</v>
      </c>
      <c r="E18" s="4" t="s">
        <v>40</v>
      </c>
      <c r="F18" s="3">
        <v>1</v>
      </c>
      <c r="G18" s="3" t="s">
        <v>22</v>
      </c>
      <c r="H18" s="5">
        <v>46169</v>
      </c>
      <c r="I18" s="4"/>
      <c r="J18" s="6"/>
      <c r="K18" s="6"/>
      <c r="L18" s="6"/>
      <c r="M18" s="7" t="str">
        <f t="shared" si="0"/>
        <v/>
      </c>
      <c r="N18" s="8"/>
    </row>
    <row r="19" spans="1:14" ht="15" customHeight="1" x14ac:dyDescent="0.2">
      <c r="A19" s="3">
        <v>15</v>
      </c>
      <c r="B19" s="3" t="s">
        <v>35</v>
      </c>
      <c r="C19" s="4" t="s">
        <v>19</v>
      </c>
      <c r="D19" s="3" t="s">
        <v>20</v>
      </c>
      <c r="E19" s="4" t="s">
        <v>41</v>
      </c>
      <c r="F19" s="3">
        <v>1</v>
      </c>
      <c r="G19" s="3" t="s">
        <v>22</v>
      </c>
      <c r="H19" s="5">
        <v>46171</v>
      </c>
      <c r="I19" s="4"/>
      <c r="J19" s="6"/>
      <c r="K19" s="6"/>
      <c r="L19" s="6"/>
      <c r="M19" s="7" t="str">
        <f t="shared" si="0"/>
        <v/>
      </c>
      <c r="N19" s="8"/>
    </row>
    <row r="20" spans="1:14" ht="15" customHeight="1" x14ac:dyDescent="0.2">
      <c r="A20" s="3">
        <v>16</v>
      </c>
      <c r="B20" s="3" t="s">
        <v>35</v>
      </c>
      <c r="C20" s="4" t="s">
        <v>42</v>
      </c>
      <c r="D20" s="3" t="s">
        <v>43</v>
      </c>
      <c r="E20" s="4" t="s">
        <v>44</v>
      </c>
      <c r="F20" s="3">
        <v>1</v>
      </c>
      <c r="G20" s="3" t="s">
        <v>30</v>
      </c>
      <c r="H20" s="5">
        <v>46156</v>
      </c>
      <c r="I20" s="4" t="s">
        <v>28</v>
      </c>
      <c r="J20" s="6"/>
      <c r="K20" s="6"/>
      <c r="L20" s="6"/>
      <c r="M20" s="7" t="str">
        <f t="shared" si="0"/>
        <v/>
      </c>
      <c r="N20" s="8"/>
    </row>
    <row r="21" spans="1:14" ht="15" customHeight="1" x14ac:dyDescent="0.2">
      <c r="A21" s="3">
        <v>17</v>
      </c>
      <c r="B21" s="3" t="s">
        <v>35</v>
      </c>
      <c r="C21" s="4" t="s">
        <v>42</v>
      </c>
      <c r="D21" s="3" t="s">
        <v>43</v>
      </c>
      <c r="E21" s="4" t="s">
        <v>45</v>
      </c>
      <c r="F21" s="3">
        <v>1</v>
      </c>
      <c r="G21" s="3" t="s">
        <v>30</v>
      </c>
      <c r="H21" s="5">
        <v>46156</v>
      </c>
      <c r="I21" s="4" t="s">
        <v>28</v>
      </c>
      <c r="J21" s="6"/>
      <c r="K21" s="6"/>
      <c r="L21" s="6"/>
      <c r="M21" s="7" t="str">
        <f t="shared" si="0"/>
        <v/>
      </c>
      <c r="N21" s="8"/>
    </row>
    <row r="22" spans="1:14" ht="15" customHeight="1" x14ac:dyDescent="0.2">
      <c r="A22" s="3">
        <v>18</v>
      </c>
      <c r="B22" s="3" t="s">
        <v>35</v>
      </c>
      <c r="C22" s="4" t="s">
        <v>42</v>
      </c>
      <c r="D22" s="3" t="s">
        <v>43</v>
      </c>
      <c r="E22" s="4" t="s">
        <v>46</v>
      </c>
      <c r="F22" s="3">
        <v>1</v>
      </c>
      <c r="G22" s="3" t="s">
        <v>30</v>
      </c>
      <c r="H22" s="5">
        <v>46156</v>
      </c>
      <c r="I22" s="4" t="s">
        <v>28</v>
      </c>
      <c r="J22" s="6"/>
      <c r="K22" s="6"/>
      <c r="L22" s="6"/>
      <c r="M22" s="7" t="str">
        <f t="shared" si="0"/>
        <v/>
      </c>
      <c r="N22" s="8"/>
    </row>
    <row r="23" spans="1:14" ht="15" customHeight="1" x14ac:dyDescent="0.2">
      <c r="A23" s="3">
        <v>19</v>
      </c>
      <c r="B23" s="3" t="s">
        <v>35</v>
      </c>
      <c r="C23" s="4" t="s">
        <v>47</v>
      </c>
      <c r="D23" s="3" t="s">
        <v>47</v>
      </c>
      <c r="E23" s="4" t="s">
        <v>48</v>
      </c>
      <c r="F23" s="3">
        <v>1</v>
      </c>
      <c r="G23" s="3" t="s">
        <v>32</v>
      </c>
      <c r="H23" s="3" t="s">
        <v>33</v>
      </c>
      <c r="I23" s="4" t="s">
        <v>34</v>
      </c>
      <c r="J23" s="6"/>
      <c r="K23" s="6"/>
      <c r="L23" s="6"/>
      <c r="M23" s="7" t="str">
        <f t="shared" si="0"/>
        <v/>
      </c>
      <c r="N23" s="8"/>
    </row>
    <row r="24" spans="1:14" ht="15" customHeight="1" x14ac:dyDescent="0.2">
      <c r="A24" s="3">
        <v>20</v>
      </c>
      <c r="B24" s="3" t="s">
        <v>35</v>
      </c>
      <c r="C24" s="4" t="s">
        <v>47</v>
      </c>
      <c r="D24" s="3" t="s">
        <v>47</v>
      </c>
      <c r="E24" s="4" t="s">
        <v>49</v>
      </c>
      <c r="F24" s="3">
        <v>1</v>
      </c>
      <c r="G24" s="3" t="s">
        <v>32</v>
      </c>
      <c r="H24" s="3" t="s">
        <v>33</v>
      </c>
      <c r="I24" s="4" t="s">
        <v>34</v>
      </c>
      <c r="J24" s="6"/>
      <c r="K24" s="6"/>
      <c r="L24" s="6"/>
      <c r="M24" s="7" t="str">
        <f t="shared" si="0"/>
        <v/>
      </c>
      <c r="N24" s="8"/>
    </row>
    <row r="25" spans="1:14" ht="15" customHeight="1" x14ac:dyDescent="0.2">
      <c r="A25" s="3">
        <v>21</v>
      </c>
      <c r="B25" s="3" t="s">
        <v>50</v>
      </c>
      <c r="C25" s="4" t="s">
        <v>19</v>
      </c>
      <c r="D25" s="3" t="s">
        <v>20</v>
      </c>
      <c r="E25" s="4" t="s">
        <v>23</v>
      </c>
      <c r="F25" s="3">
        <v>9</v>
      </c>
      <c r="G25" s="3" t="s">
        <v>22</v>
      </c>
      <c r="H25" s="5">
        <v>46176</v>
      </c>
      <c r="I25" s="4"/>
      <c r="J25" s="6"/>
      <c r="K25" s="6"/>
      <c r="L25" s="6"/>
      <c r="M25" s="7" t="str">
        <f t="shared" si="0"/>
        <v/>
      </c>
      <c r="N25" s="8"/>
    </row>
    <row r="26" spans="1:14" ht="15" customHeight="1" x14ac:dyDescent="0.2">
      <c r="A26" s="3">
        <v>22</v>
      </c>
      <c r="B26" s="3" t="s">
        <v>50</v>
      </c>
      <c r="C26" s="4" t="s">
        <v>19</v>
      </c>
      <c r="D26" s="3" t="s">
        <v>20</v>
      </c>
      <c r="E26" s="4" t="s">
        <v>51</v>
      </c>
      <c r="F26" s="3">
        <v>1</v>
      </c>
      <c r="G26" s="3" t="s">
        <v>30</v>
      </c>
      <c r="H26" s="5">
        <v>46156</v>
      </c>
      <c r="I26" s="4" t="s">
        <v>28</v>
      </c>
      <c r="J26" s="6"/>
      <c r="K26" s="6"/>
      <c r="L26" s="6"/>
      <c r="M26" s="7" t="str">
        <f t="shared" si="0"/>
        <v/>
      </c>
      <c r="N26" s="8"/>
    </row>
    <row r="27" spans="1:14" ht="15" customHeight="1" x14ac:dyDescent="0.2">
      <c r="A27" s="3">
        <v>23</v>
      </c>
      <c r="B27" s="3" t="s">
        <v>50</v>
      </c>
      <c r="C27" s="4" t="s">
        <v>19</v>
      </c>
      <c r="D27" s="3" t="s">
        <v>20</v>
      </c>
      <c r="E27" s="4" t="s">
        <v>52</v>
      </c>
      <c r="F27" s="3">
        <v>3</v>
      </c>
      <c r="G27" s="3" t="s">
        <v>30</v>
      </c>
      <c r="H27" s="5">
        <v>46156</v>
      </c>
      <c r="I27" s="4" t="s">
        <v>28</v>
      </c>
      <c r="J27" s="6"/>
      <c r="K27" s="6"/>
      <c r="L27" s="6"/>
      <c r="M27" s="7" t="str">
        <f t="shared" si="0"/>
        <v/>
      </c>
      <c r="N27" s="8"/>
    </row>
    <row r="28" spans="1:14" ht="15" customHeight="1" x14ac:dyDescent="0.2">
      <c r="A28" s="3">
        <v>24</v>
      </c>
      <c r="B28" s="3" t="s">
        <v>50</v>
      </c>
      <c r="C28" s="4" t="s">
        <v>19</v>
      </c>
      <c r="D28" s="3" t="s">
        <v>20</v>
      </c>
      <c r="E28" s="4" t="s">
        <v>53</v>
      </c>
      <c r="F28" s="3">
        <v>1</v>
      </c>
      <c r="G28" s="3" t="s">
        <v>30</v>
      </c>
      <c r="H28" s="5">
        <v>46156</v>
      </c>
      <c r="I28" s="4" t="s">
        <v>28</v>
      </c>
      <c r="J28" s="6"/>
      <c r="K28" s="6"/>
      <c r="L28" s="6"/>
      <c r="M28" s="7" t="str">
        <f t="shared" si="0"/>
        <v/>
      </c>
      <c r="N28" s="8"/>
    </row>
    <row r="29" spans="1:14" ht="15" customHeight="1" x14ac:dyDescent="0.2">
      <c r="A29" s="3">
        <v>25</v>
      </c>
      <c r="B29" s="3" t="s">
        <v>50</v>
      </c>
      <c r="C29" s="4" t="s">
        <v>42</v>
      </c>
      <c r="D29" s="3" t="s">
        <v>43</v>
      </c>
      <c r="E29" s="4" t="s">
        <v>54</v>
      </c>
      <c r="F29" s="3">
        <v>1</v>
      </c>
      <c r="G29" s="3" t="s">
        <v>22</v>
      </c>
      <c r="H29" s="5">
        <v>46178</v>
      </c>
      <c r="I29" s="4"/>
      <c r="J29" s="6"/>
      <c r="K29" s="6"/>
      <c r="L29" s="6"/>
      <c r="M29" s="7" t="str">
        <f t="shared" si="0"/>
        <v/>
      </c>
      <c r="N29" s="8"/>
    </row>
    <row r="30" spans="1:14" ht="15" customHeight="1" x14ac:dyDescent="0.2">
      <c r="A30" s="3">
        <v>26</v>
      </c>
      <c r="B30" s="3" t="s">
        <v>55</v>
      </c>
      <c r="C30" s="4" t="s">
        <v>42</v>
      </c>
      <c r="D30" s="3" t="s">
        <v>43</v>
      </c>
      <c r="E30" s="4" t="s">
        <v>21</v>
      </c>
      <c r="F30" s="3">
        <v>6</v>
      </c>
      <c r="G30" s="3" t="s">
        <v>22</v>
      </c>
      <c r="H30" s="5">
        <v>46181</v>
      </c>
      <c r="I30" s="4"/>
      <c r="J30" s="6"/>
      <c r="K30" s="6"/>
      <c r="L30" s="6"/>
      <c r="M30" s="7" t="str">
        <f t="shared" si="0"/>
        <v/>
      </c>
      <c r="N30" s="8"/>
    </row>
    <row r="31" spans="1:14" ht="15" customHeight="1" x14ac:dyDescent="0.2">
      <c r="A31" s="3">
        <v>27</v>
      </c>
      <c r="B31" s="3" t="s">
        <v>55</v>
      </c>
      <c r="C31" s="4" t="s">
        <v>42</v>
      </c>
      <c r="D31" s="3" t="s">
        <v>43</v>
      </c>
      <c r="E31" s="4" t="s">
        <v>23</v>
      </c>
      <c r="F31" s="3">
        <v>2</v>
      </c>
      <c r="G31" s="3" t="s">
        <v>22</v>
      </c>
      <c r="H31" s="5">
        <v>46181</v>
      </c>
      <c r="I31" s="4"/>
      <c r="J31" s="6"/>
      <c r="K31" s="6"/>
      <c r="L31" s="6"/>
      <c r="M31" s="7" t="str">
        <f t="shared" si="0"/>
        <v/>
      </c>
      <c r="N31" s="8"/>
    </row>
    <row r="32" spans="1:14" ht="15" customHeight="1" x14ac:dyDescent="0.2">
      <c r="A32" s="3">
        <v>28</v>
      </c>
      <c r="B32" s="3" t="s">
        <v>55</v>
      </c>
      <c r="C32" s="4" t="s">
        <v>42</v>
      </c>
      <c r="D32" s="3" t="s">
        <v>43</v>
      </c>
      <c r="E32" s="4" t="s">
        <v>56</v>
      </c>
      <c r="F32" s="3">
        <v>1</v>
      </c>
      <c r="G32" s="3" t="s">
        <v>22</v>
      </c>
      <c r="H32" s="5">
        <v>46181</v>
      </c>
      <c r="I32" s="4"/>
      <c r="J32" s="6"/>
      <c r="K32" s="6"/>
      <c r="L32" s="6"/>
      <c r="M32" s="7" t="str">
        <f t="shared" si="0"/>
        <v/>
      </c>
      <c r="N32" s="8"/>
    </row>
    <row r="33" spans="1:14" ht="15" customHeight="1" x14ac:dyDescent="0.2">
      <c r="A33" s="3">
        <v>29</v>
      </c>
      <c r="B33" s="3" t="s">
        <v>55</v>
      </c>
      <c r="C33" s="4" t="s">
        <v>57</v>
      </c>
      <c r="D33" s="3" t="s">
        <v>57</v>
      </c>
      <c r="E33" s="4" t="s">
        <v>58</v>
      </c>
      <c r="F33" s="3">
        <v>2</v>
      </c>
      <c r="G33" s="3" t="s">
        <v>22</v>
      </c>
      <c r="H33" s="5">
        <v>46183</v>
      </c>
      <c r="I33" s="4"/>
      <c r="J33" s="6"/>
      <c r="K33" s="6"/>
      <c r="L33" s="6"/>
      <c r="M33" s="7" t="str">
        <f t="shared" si="0"/>
        <v/>
      </c>
      <c r="N33" s="8"/>
    </row>
    <row r="34" spans="1:14" ht="15" customHeight="1" x14ac:dyDescent="0.2">
      <c r="A34" s="3">
        <v>30</v>
      </c>
      <c r="B34" s="3" t="s">
        <v>55</v>
      </c>
      <c r="C34" s="4" t="s">
        <v>57</v>
      </c>
      <c r="D34" s="3" t="s">
        <v>57</v>
      </c>
      <c r="E34" s="4" t="s">
        <v>59</v>
      </c>
      <c r="F34" s="3">
        <v>2</v>
      </c>
      <c r="G34" s="3" t="s">
        <v>22</v>
      </c>
      <c r="H34" s="5">
        <v>46183</v>
      </c>
      <c r="I34" s="4"/>
      <c r="J34" s="6"/>
      <c r="K34" s="6"/>
      <c r="L34" s="6"/>
      <c r="M34" s="7" t="str">
        <f t="shared" si="0"/>
        <v/>
      </c>
      <c r="N34" s="8"/>
    </row>
    <row r="35" spans="1:14" ht="15" customHeight="1" x14ac:dyDescent="0.2">
      <c r="A35" s="3">
        <v>31</v>
      </c>
      <c r="B35" s="3" t="s">
        <v>55</v>
      </c>
      <c r="C35" s="4" t="s">
        <v>57</v>
      </c>
      <c r="D35" s="3" t="s">
        <v>57</v>
      </c>
      <c r="E35" s="4" t="s">
        <v>60</v>
      </c>
      <c r="F35" s="3">
        <v>1</v>
      </c>
      <c r="G35" s="3" t="s">
        <v>22</v>
      </c>
      <c r="H35" s="5">
        <v>46183</v>
      </c>
      <c r="I35" s="4"/>
      <c r="J35" s="6"/>
      <c r="K35" s="6"/>
      <c r="L35" s="6"/>
      <c r="M35" s="7" t="str">
        <f t="shared" si="0"/>
        <v/>
      </c>
      <c r="N35" s="8"/>
    </row>
    <row r="36" spans="1:14" ht="15" customHeight="1" x14ac:dyDescent="0.2">
      <c r="A36" s="3">
        <v>32</v>
      </c>
      <c r="B36" s="3" t="s">
        <v>55</v>
      </c>
      <c r="C36" s="4" t="s">
        <v>57</v>
      </c>
      <c r="D36" s="3" t="s">
        <v>57</v>
      </c>
      <c r="E36" s="4" t="s">
        <v>61</v>
      </c>
      <c r="F36" s="3">
        <v>1</v>
      </c>
      <c r="G36" s="3" t="s">
        <v>22</v>
      </c>
      <c r="H36" s="5">
        <v>46185</v>
      </c>
      <c r="I36" s="4"/>
      <c r="J36" s="6"/>
      <c r="K36" s="6"/>
      <c r="L36" s="6"/>
      <c r="M36" s="7" t="str">
        <f t="shared" si="0"/>
        <v/>
      </c>
      <c r="N36" s="8"/>
    </row>
    <row r="37" spans="1:14" ht="15" customHeight="1" x14ac:dyDescent="0.2">
      <c r="A37" s="3">
        <v>33</v>
      </c>
      <c r="B37" s="3" t="s">
        <v>55</v>
      </c>
      <c r="C37" s="4" t="s">
        <v>57</v>
      </c>
      <c r="D37" s="3" t="s">
        <v>57</v>
      </c>
      <c r="E37" s="4" t="s">
        <v>62</v>
      </c>
      <c r="F37" s="3">
        <v>1</v>
      </c>
      <c r="G37" s="3" t="s">
        <v>22</v>
      </c>
      <c r="H37" s="5">
        <v>46185</v>
      </c>
      <c r="I37" s="4"/>
      <c r="J37" s="6"/>
      <c r="K37" s="6"/>
      <c r="L37" s="6"/>
      <c r="M37" s="7" t="str">
        <f t="shared" si="0"/>
        <v/>
      </c>
      <c r="N37" s="8"/>
    </row>
    <row r="38" spans="1:14" ht="15" customHeight="1" x14ac:dyDescent="0.2">
      <c r="A38" s="3">
        <v>34</v>
      </c>
      <c r="B38" s="3" t="s">
        <v>55</v>
      </c>
      <c r="C38" s="4" t="s">
        <v>57</v>
      </c>
      <c r="D38" s="3" t="s">
        <v>57</v>
      </c>
      <c r="E38" s="4" t="s">
        <v>63</v>
      </c>
      <c r="F38" s="3">
        <v>1</v>
      </c>
      <c r="G38" s="3" t="s">
        <v>22</v>
      </c>
      <c r="H38" s="5">
        <v>46185</v>
      </c>
      <c r="I38" s="4"/>
      <c r="J38" s="6"/>
      <c r="K38" s="6"/>
      <c r="L38" s="6"/>
      <c r="M38" s="7" t="str">
        <f t="shared" si="0"/>
        <v/>
      </c>
      <c r="N38" s="8"/>
    </row>
    <row r="41" spans="1:14" ht="15" customHeight="1" x14ac:dyDescent="0.2">
      <c r="A41" s="42" t="s">
        <v>64</v>
      </c>
      <c r="B41" s="42"/>
      <c r="C41" s="42"/>
      <c r="D41" s="42"/>
      <c r="F41" s="42" t="s">
        <v>65</v>
      </c>
      <c r="G41" s="42"/>
      <c r="H41" s="42"/>
      <c r="I41" s="42"/>
    </row>
    <row r="42" spans="1:14" ht="15" customHeight="1" x14ac:dyDescent="0.2">
      <c r="A42" s="9" t="s">
        <v>66</v>
      </c>
      <c r="B42" s="10">
        <f>COUNTA(A5:A38)</f>
        <v>34</v>
      </c>
      <c r="F42" s="11"/>
      <c r="G42" s="44" t="s">
        <v>67</v>
      </c>
      <c r="H42" s="44"/>
      <c r="I42" s="44"/>
    </row>
    <row r="43" spans="1:14" ht="15" customHeight="1" x14ac:dyDescent="0.2">
      <c r="A43" s="9" t="s">
        <v>68</v>
      </c>
      <c r="B43" s="10">
        <f>SUM(F5:F38)</f>
        <v>67</v>
      </c>
      <c r="F43" s="12"/>
      <c r="G43" s="44" t="s">
        <v>69</v>
      </c>
      <c r="H43" s="44"/>
      <c r="I43" s="44"/>
    </row>
    <row r="44" spans="1:14" ht="15" customHeight="1" x14ac:dyDescent="0.2">
      <c r="A44" s="9" t="s">
        <v>70</v>
      </c>
      <c r="B44" s="10">
        <f>COUNTA(J5:J38)</f>
        <v>0</v>
      </c>
      <c r="F44" s="13"/>
      <c r="G44" s="44" t="s">
        <v>32</v>
      </c>
      <c r="H44" s="44"/>
      <c r="I44" s="44"/>
    </row>
    <row r="45" spans="1:14" ht="15" customHeight="1" x14ac:dyDescent="0.2">
      <c r="A45" s="9" t="s">
        <v>71</v>
      </c>
      <c r="B45" s="10">
        <f>COUNTA(K5:K38)</f>
        <v>0</v>
      </c>
      <c r="F45" s="14"/>
      <c r="G45" s="44" t="s">
        <v>72</v>
      </c>
      <c r="H45" s="44"/>
      <c r="I45" s="44"/>
    </row>
    <row r="46" spans="1:14" ht="15" customHeight="1" x14ac:dyDescent="0.2">
      <c r="A46" s="9" t="s">
        <v>73</v>
      </c>
      <c r="B46" s="10">
        <f>COUNTA(L5:L38)</f>
        <v>0</v>
      </c>
      <c r="F46" s="11"/>
      <c r="G46" s="44" t="s">
        <v>74</v>
      </c>
      <c r="H46" s="44"/>
      <c r="I46" s="44"/>
    </row>
    <row r="47" spans="1:14" ht="15" customHeight="1" x14ac:dyDescent="0.2">
      <c r="A47" s="9" t="s">
        <v>75</v>
      </c>
      <c r="B47" s="15">
        <f>IFERROR(COUNTA(L5:L38)/COUNTA(A5:A38),0)</f>
        <v>0</v>
      </c>
      <c r="F47" s="16"/>
      <c r="G47" s="44" t="s">
        <v>76</v>
      </c>
      <c r="H47" s="44"/>
      <c r="I47" s="44"/>
    </row>
    <row r="48" spans="1:14" ht="15" customHeight="1" x14ac:dyDescent="0.2">
      <c r="A48" s="9" t="s">
        <v>77</v>
      </c>
      <c r="B48" s="17" t="str">
        <f>IFERROR(AVERAGE(M5:M38),"")</f>
        <v/>
      </c>
    </row>
    <row r="49" spans="1:9" ht="15" customHeight="1" x14ac:dyDescent="0.2">
      <c r="A49" s="45" t="s">
        <v>78</v>
      </c>
      <c r="B49" s="45"/>
      <c r="C49" s="45"/>
      <c r="D49" s="45"/>
      <c r="E49" s="45"/>
      <c r="F49" s="45"/>
      <c r="G49" s="45"/>
      <c r="H49" s="45"/>
      <c r="I49" s="45"/>
    </row>
    <row r="50" spans="1:9" ht="21.75" customHeight="1" x14ac:dyDescent="0.2">
      <c r="A50" s="43" t="s">
        <v>79</v>
      </c>
      <c r="B50" s="43"/>
      <c r="C50" s="43"/>
      <c r="D50" s="43"/>
      <c r="E50" s="43"/>
      <c r="F50" s="43"/>
      <c r="G50" s="43"/>
      <c r="H50" s="43"/>
      <c r="I50" s="43"/>
    </row>
    <row r="51" spans="1:9" ht="21.75" customHeight="1" x14ac:dyDescent="0.2">
      <c r="A51" s="43" t="s">
        <v>80</v>
      </c>
      <c r="B51" s="43"/>
      <c r="C51" s="43"/>
      <c r="D51" s="43"/>
      <c r="E51" s="43"/>
      <c r="F51" s="43"/>
      <c r="G51" s="43"/>
      <c r="H51" s="43"/>
      <c r="I51" s="43"/>
    </row>
    <row r="52" spans="1:9" ht="21.75" customHeight="1" x14ac:dyDescent="0.2">
      <c r="A52" s="43" t="s">
        <v>81</v>
      </c>
      <c r="B52" s="43"/>
      <c r="C52" s="43"/>
      <c r="D52" s="43"/>
      <c r="E52" s="43"/>
      <c r="F52" s="43"/>
      <c r="G52" s="43"/>
      <c r="H52" s="43"/>
      <c r="I52" s="43"/>
    </row>
    <row r="53" spans="1:9" ht="21.75" customHeight="1" x14ac:dyDescent="0.2">
      <c r="A53" s="43" t="s">
        <v>82</v>
      </c>
      <c r="B53" s="43"/>
      <c r="C53" s="43"/>
      <c r="D53" s="43"/>
      <c r="E53" s="43"/>
      <c r="F53" s="43"/>
      <c r="G53" s="43"/>
      <c r="H53" s="43"/>
      <c r="I53" s="43"/>
    </row>
    <row r="54" spans="1:9" ht="21.75" customHeight="1" x14ac:dyDescent="0.2">
      <c r="A54" s="43" t="s">
        <v>83</v>
      </c>
      <c r="B54" s="43"/>
      <c r="C54" s="43"/>
      <c r="D54" s="43"/>
      <c r="E54" s="43"/>
      <c r="F54" s="43"/>
      <c r="G54" s="43"/>
      <c r="H54" s="43"/>
      <c r="I54" s="43"/>
    </row>
    <row r="55" spans="1:9" ht="21.75" customHeight="1" x14ac:dyDescent="0.2">
      <c r="A55" s="43" t="s">
        <v>84</v>
      </c>
      <c r="B55" s="43"/>
      <c r="C55" s="43"/>
      <c r="D55" s="43"/>
      <c r="E55" s="43"/>
      <c r="F55" s="43"/>
      <c r="G55" s="43"/>
      <c r="H55" s="43"/>
      <c r="I55" s="43"/>
    </row>
  </sheetData>
  <mergeCells count="19">
    <mergeCell ref="A1:N1"/>
    <mergeCell ref="A2:N2"/>
    <mergeCell ref="A3:I3"/>
    <mergeCell ref="J3:N3"/>
    <mergeCell ref="A41:D41"/>
    <mergeCell ref="F41:I41"/>
    <mergeCell ref="G42:I42"/>
    <mergeCell ref="G43:I43"/>
    <mergeCell ref="G44:I44"/>
    <mergeCell ref="G45:I45"/>
    <mergeCell ref="G46:I46"/>
    <mergeCell ref="A53:I53"/>
    <mergeCell ref="A54:I54"/>
    <mergeCell ref="A55:I55"/>
    <mergeCell ref="G47:I47"/>
    <mergeCell ref="A49:I49"/>
    <mergeCell ref="A50:I50"/>
    <mergeCell ref="A51:I51"/>
    <mergeCell ref="A52:I52"/>
  </mergeCells>
  <conditionalFormatting sqref="A5:I38">
    <cfRule type="expression" dxfId="7" priority="5">
      <formula>$G5="Delivered"</formula>
    </cfRule>
    <cfRule type="expression" dxfId="6" priority="6">
      <formula>$G5="Complete"</formula>
    </cfRule>
    <cfRule type="expression" dxfId="5" priority="7">
      <formula>$G5="Not by Colfab"</formula>
    </cfRule>
  </conditionalFormatting>
  <conditionalFormatting sqref="G5:G38">
    <cfRule type="cellIs" dxfId="4" priority="2" operator="equal">
      <formula>"Delivered"</formula>
    </cfRule>
    <cfRule type="cellIs" dxfId="3" priority="3" operator="equal">
      <formula>"Complete"</formula>
    </cfRule>
    <cfRule type="cellIs" dxfId="2" priority="4" operator="equal">
      <formula>"Not by Colfab"</formula>
    </cfRule>
  </conditionalFormatting>
  <conditionalFormatting sqref="J5:J38">
    <cfRule type="expression" dxfId="1" priority="8">
      <formula>AND(ISBLANK(J5),ISNUMBER($H5),$H5&lt;TODAY())</formula>
    </cfRule>
  </conditionalFormatting>
  <conditionalFormatting sqref="L5:L38">
    <cfRule type="expression" dxfId="0" priority="9">
      <formula>ISNUMBER(L5)</formula>
    </cfRule>
  </conditionalFormatting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8"/>
  <sheetViews>
    <sheetView tabSelected="1" zoomScaleNormal="100" workbookViewId="0">
      <pane ySplit="3" topLeftCell="A4" activePane="bottomLeft" state="frozen"/>
      <selection pane="bottomLeft" sqref="A1:H1"/>
    </sheetView>
  </sheetViews>
  <sheetFormatPr defaultColWidth="8.7421875" defaultRowHeight="15" x14ac:dyDescent="0.2"/>
  <cols>
    <col min="1" max="1" width="26.36328125" customWidth="1"/>
    <col min="2" max="2" width="12.10546875" customWidth="1"/>
    <col min="3" max="4" width="16.94921875" customWidth="1"/>
    <col min="5" max="5" width="13.98828125" customWidth="1"/>
    <col min="6" max="7" width="16.94921875" customWidth="1"/>
    <col min="8" max="8" width="59.99609375" customWidth="1"/>
    <col min="9" max="11" width="20.984375" customWidth="1"/>
  </cols>
  <sheetData>
    <row r="1" spans="1:11" ht="27.75" customHeight="1" x14ac:dyDescent="0.25">
      <c r="A1" s="39" t="s">
        <v>85</v>
      </c>
      <c r="B1" s="39"/>
      <c r="C1" s="39"/>
      <c r="D1" s="39"/>
      <c r="E1" s="39"/>
      <c r="F1" s="39"/>
      <c r="G1" s="39"/>
      <c r="H1" s="39"/>
      <c r="I1" s="22"/>
      <c r="J1" s="22"/>
      <c r="K1" s="22"/>
    </row>
    <row r="2" spans="1:11" ht="27.75" customHeight="1" x14ac:dyDescent="0.2">
      <c r="A2" s="40" t="s">
        <v>86</v>
      </c>
      <c r="B2" s="40"/>
      <c r="C2" s="40"/>
      <c r="D2" s="40"/>
      <c r="E2" s="40"/>
      <c r="F2" s="40"/>
      <c r="G2" s="40"/>
      <c r="H2" s="40"/>
      <c r="I2" s="27"/>
      <c r="J2" s="27"/>
      <c r="K2" s="27"/>
    </row>
    <row r="3" spans="1:11" ht="36" customHeight="1" x14ac:dyDescent="0.2">
      <c r="A3" s="1" t="s">
        <v>87</v>
      </c>
      <c r="B3" s="1" t="s">
        <v>88</v>
      </c>
      <c r="C3" s="1" t="s">
        <v>89</v>
      </c>
      <c r="D3" s="1" t="s">
        <v>90</v>
      </c>
      <c r="E3" s="1" t="s">
        <v>91</v>
      </c>
      <c r="F3" s="1" t="s">
        <v>92</v>
      </c>
      <c r="G3" s="1" t="s">
        <v>93</v>
      </c>
      <c r="H3" s="23" t="s">
        <v>94</v>
      </c>
      <c r="I3" s="28" t="s">
        <v>138</v>
      </c>
      <c r="J3" s="28" t="s">
        <v>139</v>
      </c>
      <c r="K3" s="28" t="s">
        <v>140</v>
      </c>
    </row>
    <row r="4" spans="1:11" ht="42" customHeight="1" x14ac:dyDescent="0.2">
      <c r="A4" s="18" t="s">
        <v>95</v>
      </c>
      <c r="B4" s="3" t="s">
        <v>96</v>
      </c>
      <c r="C4" s="3">
        <v>1</v>
      </c>
      <c r="D4" s="3">
        <v>15</v>
      </c>
      <c r="E4" s="3">
        <v>2</v>
      </c>
      <c r="F4" s="3">
        <f t="shared" ref="F4:F14" si="0">D4+E4</f>
        <v>17</v>
      </c>
      <c r="G4" s="18">
        <f t="shared" ref="G4:G14" si="1">C4*F4</f>
        <v>17</v>
      </c>
      <c r="H4" s="24" t="s">
        <v>97</v>
      </c>
      <c r="I4" s="30"/>
      <c r="J4" s="31"/>
      <c r="K4" s="31"/>
    </row>
    <row r="5" spans="1:11" ht="42" customHeight="1" x14ac:dyDescent="0.2">
      <c r="A5" s="18" t="s">
        <v>98</v>
      </c>
      <c r="B5" s="3" t="s">
        <v>99</v>
      </c>
      <c r="C5" s="3">
        <v>1</v>
      </c>
      <c r="D5" s="3">
        <v>12</v>
      </c>
      <c r="E5" s="3">
        <v>0</v>
      </c>
      <c r="F5" s="3">
        <f t="shared" si="0"/>
        <v>12</v>
      </c>
      <c r="G5" s="18">
        <f t="shared" si="1"/>
        <v>12</v>
      </c>
      <c r="H5" s="24" t="s">
        <v>100</v>
      </c>
      <c r="I5" s="30"/>
      <c r="J5" s="31"/>
      <c r="K5" s="31"/>
    </row>
    <row r="6" spans="1:11" ht="42" customHeight="1" x14ac:dyDescent="0.2">
      <c r="A6" s="18" t="s">
        <v>101</v>
      </c>
      <c r="B6" s="3" t="s">
        <v>102</v>
      </c>
      <c r="C6" s="3">
        <v>10</v>
      </c>
      <c r="D6" s="3">
        <v>1</v>
      </c>
      <c r="E6" s="3">
        <v>0</v>
      </c>
      <c r="F6" s="3">
        <f t="shared" si="0"/>
        <v>1</v>
      </c>
      <c r="G6" s="18">
        <f t="shared" si="1"/>
        <v>10</v>
      </c>
      <c r="H6" s="24" t="s">
        <v>103</v>
      </c>
      <c r="I6" s="30"/>
      <c r="J6" s="31"/>
      <c r="K6" s="31"/>
    </row>
    <row r="7" spans="1:11" ht="42" customHeight="1" x14ac:dyDescent="0.2">
      <c r="A7" s="18" t="s">
        <v>104</v>
      </c>
      <c r="B7" s="3" t="s">
        <v>102</v>
      </c>
      <c r="C7" s="3">
        <v>1</v>
      </c>
      <c r="D7" s="3">
        <v>1</v>
      </c>
      <c r="E7" s="3">
        <v>0</v>
      </c>
      <c r="F7" s="3">
        <f t="shared" si="0"/>
        <v>1</v>
      </c>
      <c r="G7" s="18">
        <f t="shared" si="1"/>
        <v>1</v>
      </c>
      <c r="H7" s="24" t="s">
        <v>105</v>
      </c>
      <c r="I7" s="30"/>
      <c r="J7" s="31"/>
      <c r="K7" s="31"/>
    </row>
    <row r="8" spans="1:11" ht="42" customHeight="1" x14ac:dyDescent="0.2">
      <c r="A8" s="18" t="s">
        <v>106</v>
      </c>
      <c r="B8" s="3" t="s">
        <v>102</v>
      </c>
      <c r="C8" s="3">
        <v>1</v>
      </c>
      <c r="D8" s="3">
        <v>1</v>
      </c>
      <c r="E8" s="3">
        <v>0</v>
      </c>
      <c r="F8" s="3">
        <f t="shared" si="0"/>
        <v>1</v>
      </c>
      <c r="G8" s="18">
        <f t="shared" si="1"/>
        <v>1</v>
      </c>
      <c r="H8" s="24" t="s">
        <v>105</v>
      </c>
      <c r="I8" s="30"/>
      <c r="J8" s="31"/>
      <c r="K8" s="31"/>
    </row>
    <row r="9" spans="1:11" ht="42" customHeight="1" x14ac:dyDescent="0.2">
      <c r="A9" s="18" t="s">
        <v>107</v>
      </c>
      <c r="B9" s="3" t="s">
        <v>108</v>
      </c>
      <c r="C9" s="3">
        <v>1</v>
      </c>
      <c r="D9" s="3">
        <v>15</v>
      </c>
      <c r="E9" s="3">
        <v>2</v>
      </c>
      <c r="F9" s="3">
        <f t="shared" si="0"/>
        <v>17</v>
      </c>
      <c r="G9" s="18">
        <f t="shared" si="1"/>
        <v>17</v>
      </c>
      <c r="H9" s="24" t="s">
        <v>109</v>
      </c>
      <c r="I9" s="30"/>
      <c r="J9" s="31"/>
      <c r="K9" s="31"/>
    </row>
    <row r="10" spans="1:11" ht="42" customHeight="1" x14ac:dyDescent="0.2">
      <c r="A10" s="19" t="s">
        <v>110</v>
      </c>
      <c r="B10" s="20" t="s">
        <v>111</v>
      </c>
      <c r="C10" s="20">
        <v>1</v>
      </c>
      <c r="D10" s="20">
        <v>24</v>
      </c>
      <c r="E10" s="20">
        <v>4</v>
      </c>
      <c r="F10" s="20">
        <f t="shared" si="0"/>
        <v>28</v>
      </c>
      <c r="G10" s="19">
        <f t="shared" si="1"/>
        <v>28</v>
      </c>
      <c r="H10" s="25" t="s">
        <v>112</v>
      </c>
      <c r="I10" s="32"/>
      <c r="J10" s="33"/>
      <c r="K10" s="33"/>
    </row>
    <row r="11" spans="1:11" ht="42" customHeight="1" x14ac:dyDescent="0.2">
      <c r="A11" s="18" t="s">
        <v>113</v>
      </c>
      <c r="B11" s="3" t="s">
        <v>114</v>
      </c>
      <c r="C11" s="3">
        <v>1</v>
      </c>
      <c r="D11" s="3">
        <v>1</v>
      </c>
      <c r="E11" s="3">
        <v>0</v>
      </c>
      <c r="F11" s="3">
        <f t="shared" si="0"/>
        <v>1</v>
      </c>
      <c r="G11" s="18">
        <f t="shared" si="1"/>
        <v>1</v>
      </c>
      <c r="H11" s="24" t="s">
        <v>105</v>
      </c>
      <c r="I11" s="30"/>
      <c r="J11" s="31"/>
      <c r="K11" s="31"/>
    </row>
    <row r="12" spans="1:11" ht="42" customHeight="1" x14ac:dyDescent="0.2">
      <c r="A12" s="18" t="s">
        <v>115</v>
      </c>
      <c r="B12" s="3" t="s">
        <v>114</v>
      </c>
      <c r="C12" s="3">
        <v>1</v>
      </c>
      <c r="D12" s="3">
        <v>3</v>
      </c>
      <c r="E12" s="3">
        <v>0</v>
      </c>
      <c r="F12" s="3">
        <f t="shared" si="0"/>
        <v>3</v>
      </c>
      <c r="G12" s="18">
        <f t="shared" si="1"/>
        <v>3</v>
      </c>
      <c r="H12" s="24" t="s">
        <v>116</v>
      </c>
      <c r="I12" s="30"/>
      <c r="J12" s="31"/>
      <c r="K12" s="31"/>
    </row>
    <row r="13" spans="1:11" ht="42" customHeight="1" x14ac:dyDescent="0.2">
      <c r="A13" s="18" t="s">
        <v>117</v>
      </c>
      <c r="B13" s="3" t="s">
        <v>118</v>
      </c>
      <c r="C13" s="3">
        <v>1</v>
      </c>
      <c r="D13" s="3">
        <v>12</v>
      </c>
      <c r="E13" s="3">
        <v>2</v>
      </c>
      <c r="F13" s="3">
        <f t="shared" si="0"/>
        <v>14</v>
      </c>
      <c r="G13" s="18">
        <f t="shared" si="1"/>
        <v>14</v>
      </c>
      <c r="H13" s="24" t="s">
        <v>119</v>
      </c>
      <c r="I13" s="30"/>
      <c r="J13" s="31"/>
      <c r="K13" s="31"/>
    </row>
    <row r="14" spans="1:11" ht="42" customHeight="1" x14ac:dyDescent="0.2">
      <c r="A14" s="18" t="s">
        <v>120</v>
      </c>
      <c r="B14" s="3" t="s">
        <v>121</v>
      </c>
      <c r="C14" s="3">
        <v>1</v>
      </c>
      <c r="D14" s="3">
        <v>3</v>
      </c>
      <c r="E14" s="3">
        <v>0</v>
      </c>
      <c r="F14" s="3">
        <f t="shared" si="0"/>
        <v>3</v>
      </c>
      <c r="G14" s="18">
        <f t="shared" si="1"/>
        <v>3</v>
      </c>
      <c r="H14" s="24" t="s">
        <v>116</v>
      </c>
      <c r="I14" s="30"/>
      <c r="J14" s="31"/>
      <c r="K14" s="31"/>
    </row>
    <row r="15" spans="1:11" ht="27.75" customHeight="1" x14ac:dyDescent="0.2">
      <c r="A15" s="41" t="s">
        <v>122</v>
      </c>
      <c r="B15" s="41"/>
      <c r="C15" s="21">
        <f>SUM(C4:C14)</f>
        <v>20</v>
      </c>
      <c r="D15" s="21">
        <f>SUM(D4:D14)</f>
        <v>88</v>
      </c>
      <c r="E15" s="21">
        <f>SUM(E4:E14)</f>
        <v>10</v>
      </c>
      <c r="F15" s="21">
        <f>SUM(F4:F14)</f>
        <v>98</v>
      </c>
      <c r="G15" s="21">
        <f>SUM(G4:G14)</f>
        <v>107</v>
      </c>
      <c r="H15" s="26"/>
      <c r="I15" s="29">
        <f>SUM(I4:I14)</f>
        <v>0</v>
      </c>
      <c r="J15" s="34"/>
      <c r="K15" s="34"/>
    </row>
    <row r="18" spans="1:8" ht="15" customHeight="1" x14ac:dyDescent="0.2">
      <c r="A18" s="42" t="s">
        <v>123</v>
      </c>
      <c r="B18" s="42"/>
      <c r="C18" s="42"/>
      <c r="D18" s="42"/>
      <c r="E18" s="42"/>
      <c r="F18" s="42"/>
      <c r="G18" s="42"/>
      <c r="H18" s="42"/>
    </row>
    <row r="19" spans="1:8" ht="21.75" customHeight="1" x14ac:dyDescent="0.2">
      <c r="A19" s="36" t="s">
        <v>124</v>
      </c>
      <c r="B19" s="36"/>
      <c r="C19" s="37" t="s">
        <v>125</v>
      </c>
      <c r="D19" s="37"/>
      <c r="E19" s="37"/>
      <c r="F19" s="37"/>
      <c r="G19" s="37"/>
      <c r="H19" s="37"/>
    </row>
    <row r="20" spans="1:8" ht="21.75" customHeight="1" x14ac:dyDescent="0.2">
      <c r="A20" s="36" t="s">
        <v>126</v>
      </c>
      <c r="B20" s="36"/>
      <c r="C20" s="37" t="s">
        <v>127</v>
      </c>
      <c r="D20" s="37"/>
      <c r="E20" s="37"/>
      <c r="F20" s="37"/>
      <c r="G20" s="37"/>
      <c r="H20" s="37"/>
    </row>
    <row r="21" spans="1:8" ht="21.75" customHeight="1" x14ac:dyDescent="0.2">
      <c r="A21" s="36" t="s">
        <v>128</v>
      </c>
      <c r="B21" s="36"/>
      <c r="C21" s="37" t="s">
        <v>129</v>
      </c>
      <c r="D21" s="37"/>
      <c r="E21" s="37"/>
      <c r="F21" s="37"/>
      <c r="G21" s="37"/>
      <c r="H21" s="37"/>
    </row>
    <row r="22" spans="1:8" ht="21.75" customHeight="1" x14ac:dyDescent="0.2">
      <c r="A22" s="36" t="s">
        <v>130</v>
      </c>
      <c r="B22" s="36"/>
      <c r="C22" s="37" t="s">
        <v>131</v>
      </c>
      <c r="D22" s="37"/>
      <c r="E22" s="37"/>
      <c r="F22" s="37"/>
      <c r="G22" s="37"/>
      <c r="H22" s="37"/>
    </row>
    <row r="23" spans="1:8" ht="21.75" customHeight="1" x14ac:dyDescent="0.2">
      <c r="A23" s="36" t="s">
        <v>132</v>
      </c>
      <c r="B23" s="36"/>
      <c r="C23" s="37" t="s">
        <v>133</v>
      </c>
      <c r="D23" s="37"/>
      <c r="E23" s="37"/>
      <c r="F23" s="37"/>
      <c r="G23" s="37"/>
      <c r="H23" s="37"/>
    </row>
    <row r="24" spans="1:8" ht="21.75" customHeight="1" x14ac:dyDescent="0.2">
      <c r="A24" s="36" t="s">
        <v>134</v>
      </c>
      <c r="B24" s="36"/>
      <c r="C24" s="37" t="s">
        <v>135</v>
      </c>
      <c r="D24" s="37"/>
      <c r="E24" s="37"/>
      <c r="F24" s="37"/>
      <c r="G24" s="37"/>
      <c r="H24" s="37"/>
    </row>
    <row r="27" spans="1:8" ht="15" customHeight="1" x14ac:dyDescent="0.2">
      <c r="A27" s="38" t="s">
        <v>136</v>
      </c>
      <c r="B27" s="38"/>
      <c r="C27" s="38"/>
      <c r="D27" s="38"/>
      <c r="E27" s="38"/>
      <c r="F27" s="38"/>
      <c r="G27" s="38"/>
      <c r="H27" s="38"/>
    </row>
    <row r="28" spans="1:8" ht="99.75" customHeight="1" x14ac:dyDescent="0.2">
      <c r="A28" s="35" t="s">
        <v>137</v>
      </c>
      <c r="B28" s="35"/>
      <c r="C28" s="35"/>
      <c r="D28" s="35"/>
      <c r="E28" s="35"/>
      <c r="F28" s="35"/>
      <c r="G28" s="35"/>
      <c r="H28" s="35"/>
    </row>
  </sheetData>
  <mergeCells count="18">
    <mergeCell ref="A1:H1"/>
    <mergeCell ref="A2:H2"/>
    <mergeCell ref="A15:B15"/>
    <mergeCell ref="A18:H18"/>
    <mergeCell ref="A19:B19"/>
    <mergeCell ref="C19:H19"/>
    <mergeCell ref="A20:B20"/>
    <mergeCell ref="C20:H20"/>
    <mergeCell ref="A21:B21"/>
    <mergeCell ref="C21:H21"/>
    <mergeCell ref="A22:B22"/>
    <mergeCell ref="C22:H22"/>
    <mergeCell ref="A28:H28"/>
    <mergeCell ref="A23:B23"/>
    <mergeCell ref="C23:H23"/>
    <mergeCell ref="A24:B24"/>
    <mergeCell ref="C24:H24"/>
    <mergeCell ref="A27:H27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32E61FEBD4A04EAFCEABFA5B244C1E" ma:contentTypeVersion="18" ma:contentTypeDescription="Create a new document." ma:contentTypeScope="" ma:versionID="eb4a00fdc4d3adafccfc8ed4c7d3f942">
  <xsd:schema xmlns:xsd="http://www.w3.org/2001/XMLSchema" xmlns:xs="http://www.w3.org/2001/XMLSchema" xmlns:p="http://schemas.microsoft.com/office/2006/metadata/properties" xmlns:ns2="96b1d6dc-7622-40a6-9c38-e9350e6fbd97" xmlns:ns3="10bb786c-0915-4e66-a7a6-d17d6fde2cb1" targetNamespace="http://schemas.microsoft.com/office/2006/metadata/properties" ma:root="true" ma:fieldsID="f977221f59353aeece8f37582d2301c3" ns2:_="" ns3:_="">
    <xsd:import namespace="96b1d6dc-7622-40a6-9c38-e9350e6fbd97"/>
    <xsd:import namespace="10bb786c-0915-4e66-a7a6-d17d6fde2c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1d6dc-7622-40a6-9c38-e9350e6fb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9e3b648-5868-4948-9ea4-ec769a3062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b786c-0915-4e66-a7a6-d17d6fde2cb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ab957b2-65c2-4103-b88a-e49d0ca9c597}" ma:internalName="TaxCatchAll" ma:showField="CatchAllData" ma:web="10bb786c-0915-4e66-a7a6-d17d6fde2c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bb786c-0915-4e66-a7a6-d17d6fde2cb1" xsi:nil="true"/>
    <lcf76f155ced4ddcb4097134ff3c332f xmlns="96b1d6dc-7622-40a6-9c38-e9350e6fbd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1B1671-10BE-4AED-9B17-3674F1931E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AFF960-FA36-4E7B-AD4F-F8E83587795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6b1d6dc-7622-40a6-9c38-e9350e6fbd97"/>
    <ds:schemaRef ds:uri="10bb786c-0915-4e66-a7a6-d17d6fde2cb1"/>
  </ds:schemaRefs>
</ds:datastoreItem>
</file>

<file path=customXml/itemProps3.xml><?xml version="1.0" encoding="utf-8"?>
<ds:datastoreItem xmlns:ds="http://schemas.openxmlformats.org/officeDocument/2006/customXml" ds:itemID="{9BB2460B-EC5C-4C01-A8F5-D5BCDF4F730A}">
  <ds:schemaRefs>
    <ds:schemaRef ds:uri="http://schemas.microsoft.com/office/2006/metadata/properties"/>
    <ds:schemaRef ds:uri="http://www.w3.org/2000/xmlns/"/>
    <ds:schemaRef ds:uri="10bb786c-0915-4e66-a7a6-d17d6fde2cb1"/>
    <ds:schemaRef ds:uri="http://www.w3.org/2001/XMLSchema-instance"/>
    <ds:schemaRef ds:uri="96b1d6dc-7622-40a6-9c38-e9350e6fbd97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Frame Installation Tracker</vt:lpstr>
      <vt:lpstr>Panel Counts</vt:lpstr>
      <vt:lpstr>Frame Installation Tracker!Print_Titles</vt:lpstr>
      <vt:lpstr>Panel Counts!Print_Titles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Ellis Guiles</cp:lastModifiedBy>
  <cp:revision>0</cp:revision>
  <dcterms:created xsi:type="dcterms:W3CDTF">2026-05-22T19:56:59Z</dcterms:created>
  <dcterms:modified xsi:type="dcterms:W3CDTF">2026-05-22T20:36:24Z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0x0101001932E61FEBD4A04EAFCEABFA5B244C1E</vt:lpwstr>
  </property>
</Properties>
</file>